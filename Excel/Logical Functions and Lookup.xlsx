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44525"/>
</workbook>
</file>

<file path=xl/calcChain.xml><?xml version="1.0" encoding="utf-8"?>
<calcChain xmlns="http://schemas.openxmlformats.org/spreadsheetml/2006/main">
  <c r="C3" i="8" l="1"/>
  <c r="C3" i="7"/>
  <c r="D3" i="6"/>
  <c r="D4" i="6"/>
  <c r="D2" i="6"/>
  <c r="C5" i="5"/>
  <c r="C4" i="5"/>
  <c r="C3" i="5"/>
  <c r="C2" i="5"/>
  <c r="D4" i="4"/>
  <c r="C3" i="3"/>
  <c r="C4" i="3"/>
  <c r="C5" i="3"/>
  <c r="C6" i="3"/>
  <c r="C2" i="3"/>
  <c r="D3" i="2"/>
  <c r="D4" i="2"/>
  <c r="D5" i="2"/>
  <c r="D2" i="2"/>
  <c r="C2" i="1"/>
  <c r="C3" i="1"/>
  <c r="C4" i="1"/>
  <c r="C5" i="1"/>
  <c r="C6" i="1"/>
</calcChain>
</file>

<file path=xl/sharedStrings.xml><?xml version="1.0" encoding="utf-8"?>
<sst xmlns="http://schemas.openxmlformats.org/spreadsheetml/2006/main" count="80" uniqueCount="62">
  <si>
    <t>Student Name</t>
  </si>
  <si>
    <t>Marks</t>
  </si>
  <si>
    <t>Riya</t>
  </si>
  <si>
    <t>Siya</t>
  </si>
  <si>
    <t>Raju</t>
  </si>
  <si>
    <t>Rahul</t>
  </si>
  <si>
    <t>Ram</t>
  </si>
  <si>
    <t>Result</t>
  </si>
  <si>
    <t>1. Write a formula to check if the marks in cell B2, are greater than or equal to 40. If yes, return “pass”, otherwise “fail”.</t>
  </si>
  <si>
    <t>Employee</t>
  </si>
  <si>
    <t>Sales</t>
  </si>
  <si>
    <t>Attendance</t>
  </si>
  <si>
    <t>Arjun</t>
  </si>
  <si>
    <t>Simran</t>
  </si>
  <si>
    <t>Rohit</t>
  </si>
  <si>
    <t>Anjali</t>
  </si>
  <si>
    <t>Bonus</t>
  </si>
  <si>
    <t>2. A company gives a bonus if sales are above 40,000 and attendance is greater than or equal to 90%. Write a formula to calculate whether the employee will get a bonus or not.</t>
  </si>
  <si>
    <t>Raj</t>
  </si>
  <si>
    <t>Neha</t>
  </si>
  <si>
    <t>Vivek</t>
  </si>
  <si>
    <t>Rani</t>
  </si>
  <si>
    <t>Sneha</t>
  </si>
  <si>
    <t>Grade</t>
  </si>
  <si>
    <t xml:space="preserve"> If marks in B2 are ≥ 90 →”A” , ≥ 75 →B , ≥ 50 →”C” , otherwise “Fail”</t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</si>
  <si>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Write a nested IF formula:</t>
    </r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</si>
  <si>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</si>
  <si>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</si>
  <si>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</si>
  <si>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</si>
  <si>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</si>
  <si>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</si>
  <si>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</si>
  <si>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</si>
  <si>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</si>
  <si>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</si>
  <si>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</si>
  <si>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</si>
  <si>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4. Find the Department of Employee ID = E103. Also explain which LOOKUP function is used and why?</t>
  </si>
  <si>
    <t>Sales Amount</t>
  </si>
  <si>
    <t>Commission Rate</t>
  </si>
  <si>
    <r>
      <t xml:space="preserve">5. 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Calibri"/>
        <family val="2"/>
        <scheme val="minor"/>
      </rPr>
      <t>A company has set the following commission structure for its sales team:</t>
    </r>
  </si>
  <si>
    <t xml:space="preserve">   If a salesperson achieves sales of ₹45,000, use the VLOOKUP function to determine the commission rate applicable.</t>
  </si>
  <si>
    <t>Commission</t>
  </si>
  <si>
    <t>Employee Name</t>
  </si>
  <si>
    <t>Leaves Taken</t>
  </si>
  <si>
    <t>Leaves Allowed</t>
  </si>
  <si>
    <t>Alex</t>
  </si>
  <si>
    <t>Bob</t>
  </si>
  <si>
    <t>Anna</t>
  </si>
  <si>
    <t xml:space="preserve">Write an IF function to check whether an employee has Exceeded their allowed leave balance. </t>
  </si>
  <si>
    <t xml:space="preserve">If Leaves Taken &gt; Allowed Leaves, display "Exceeded". </t>
  </si>
  <si>
    <t>Otherwise, display "OK".</t>
  </si>
  <si>
    <t>Status</t>
  </si>
  <si>
    <t xml:space="preserve">6. The HR department maintains the following leave records of employees:onus or not </t>
  </si>
  <si>
    <t>Salary</t>
  </si>
  <si>
    <t>E105</t>
  </si>
  <si>
    <t>E106</t>
  </si>
  <si>
    <t>7. Find the salary of EmpID = E105 using INDEX-MATCH Function.</t>
  </si>
  <si>
    <t>E303</t>
  </si>
  <si>
    <t>E301</t>
  </si>
  <si>
    <r>
      <t xml:space="preserve">8. </t>
    </r>
    <r>
      <rPr>
        <sz val="12"/>
        <color theme="1"/>
        <rFont val="Calibri"/>
        <family val="2"/>
      </rPr>
      <t>Use the XLOOKUP function to find the Department of the employee with Emp ID = E303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</si>
</sst>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 vertical="center" indent="4"/>
    </xf>
    <xf numFmtId="0" fontId="0" fillId="0" borderId="0" xfId="0" applyAlignment="1">
      <alignment horizontal="left" vertical="center" indent="4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9" fontId="3" fillId="0" borderId="4" xfId="0" applyNumberFormat="1" applyFont="1" applyBorder="1" applyAlignment="1">
      <alignment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2"/>
    </xf>
    <xf numFmtId="0" fontId="3" fillId="0" borderId="4" xfId="0" applyFont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horizontal="left" vertical="center" indent="4"/>
    </xf>
    <xf numFmtId="0" fontId="5" fillId="0" borderId="0" xfId="0" applyFont="1" applyAlignment="1">
      <alignment horizontal="left" vertical="center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J8" sqref="J8"/>
    </sheetView>
  </sheetViews>
  <sheetFormatPr defaultRowHeight="14.5" x14ac:dyDescent="0.35"/>
  <sheetData>
    <row r="1" spans="1:6" ht="31.5" thickBot="1" x14ac:dyDescent="0.4">
      <c r="A1" s="2" t="s">
        <v>0</v>
      </c>
      <c r="B1" s="4" t="s">
        <v>1</v>
      </c>
      <c r="C1" t="s">
        <v>7</v>
      </c>
      <c r="F1" t="s">
        <v>8</v>
      </c>
    </row>
    <row r="2" spans="1:6" ht="16" thickBot="1" x14ac:dyDescent="0.4">
      <c r="A2" s="6" t="s">
        <v>2</v>
      </c>
      <c r="B2" s="8">
        <v>45</v>
      </c>
      <c r="C2" t="str">
        <f>IF(B2&gt;=40,"Pass","Fail")</f>
        <v>Pass</v>
      </c>
    </row>
    <row r="3" spans="1:6" ht="16" thickBot="1" x14ac:dyDescent="0.4">
      <c r="A3" s="6" t="s">
        <v>3</v>
      </c>
      <c r="B3" s="8">
        <v>72</v>
      </c>
      <c r="C3" t="str">
        <f t="shared" ref="C3:C6" si="0">IF(B3&gt;=40,"Pass","Fail")</f>
        <v>Pass</v>
      </c>
    </row>
    <row r="4" spans="1:6" ht="16" thickBot="1" x14ac:dyDescent="0.4">
      <c r="A4" s="6" t="s">
        <v>4</v>
      </c>
      <c r="B4" s="8">
        <v>55</v>
      </c>
      <c r="C4" t="str">
        <f t="shared" si="0"/>
        <v>Pass</v>
      </c>
    </row>
    <row r="5" spans="1:6" ht="16" thickBot="1" x14ac:dyDescent="0.4">
      <c r="A5" s="6" t="s">
        <v>5</v>
      </c>
      <c r="B5" s="8">
        <v>80</v>
      </c>
      <c r="C5" t="str">
        <f t="shared" si="0"/>
        <v>Pass</v>
      </c>
    </row>
    <row r="6" spans="1:6" ht="16" thickBot="1" x14ac:dyDescent="0.4">
      <c r="A6" s="6" t="s">
        <v>6</v>
      </c>
      <c r="B6" s="8">
        <v>30</v>
      </c>
      <c r="C6" t="str">
        <f t="shared" si="0"/>
        <v>Fail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J15" sqref="J15"/>
    </sheetView>
  </sheetViews>
  <sheetFormatPr defaultRowHeight="14.5" x14ac:dyDescent="0.35"/>
  <cols>
    <col min="1" max="1" width="9.6328125" customWidth="1"/>
    <col min="3" max="3" width="11.26953125" customWidth="1"/>
  </cols>
  <sheetData>
    <row r="1" spans="1:4" ht="31.5" thickBot="1" x14ac:dyDescent="0.4">
      <c r="A1" s="2" t="s">
        <v>9</v>
      </c>
      <c r="B1" s="4" t="s">
        <v>10</v>
      </c>
      <c r="C1" s="4" t="s">
        <v>11</v>
      </c>
      <c r="D1" s="9" t="s">
        <v>16</v>
      </c>
    </row>
    <row r="2" spans="1:4" ht="16" thickBot="1" x14ac:dyDescent="0.4">
      <c r="A2" s="6" t="s">
        <v>12</v>
      </c>
      <c r="B2" s="8">
        <v>55000</v>
      </c>
      <c r="C2" s="8">
        <v>95</v>
      </c>
      <c r="D2" t="str">
        <f>IF(AND(B2&gt;40000, C2&gt;=90), "Bonus", "No Bonus")</f>
        <v>Bonus</v>
      </c>
    </row>
    <row r="3" spans="1:4" ht="16" thickBot="1" x14ac:dyDescent="0.4">
      <c r="A3" s="6" t="s">
        <v>13</v>
      </c>
      <c r="B3" s="8">
        <v>65000</v>
      </c>
      <c r="C3" s="8">
        <v>85</v>
      </c>
      <c r="D3" t="str">
        <f t="shared" ref="D3:D5" si="0">IF(AND(B3&gt;40000, C3&gt;=90), "Bonus", "No Bonus")</f>
        <v>No Bonus</v>
      </c>
    </row>
    <row r="4" spans="1:4" ht="16" thickBot="1" x14ac:dyDescent="0.4">
      <c r="A4" s="6" t="s">
        <v>14</v>
      </c>
      <c r="B4" s="8">
        <v>30000</v>
      </c>
      <c r="C4" s="8">
        <v>90</v>
      </c>
      <c r="D4" t="str">
        <f t="shared" si="0"/>
        <v>No Bonus</v>
      </c>
    </row>
    <row r="5" spans="1:4" ht="16" thickBot="1" x14ac:dyDescent="0.4">
      <c r="A5" s="6" t="s">
        <v>15</v>
      </c>
      <c r="B5" s="8">
        <v>25000</v>
      </c>
      <c r="C5" s="8">
        <v>65</v>
      </c>
      <c r="D5" t="str">
        <f t="shared" si="0"/>
        <v>No Bonus</v>
      </c>
    </row>
    <row r="9" spans="1:4" x14ac:dyDescent="0.35">
      <c r="B9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J14" sqref="J14"/>
    </sheetView>
  </sheetViews>
  <sheetFormatPr defaultRowHeight="14.5" x14ac:dyDescent="0.35"/>
  <cols>
    <col min="1" max="1" width="9.1796875" customWidth="1"/>
  </cols>
  <sheetData>
    <row r="1" spans="1:3" ht="31.5" thickBot="1" x14ac:dyDescent="0.4">
      <c r="A1" s="2" t="s">
        <v>0</v>
      </c>
      <c r="B1" s="4" t="s">
        <v>1</v>
      </c>
      <c r="C1" t="s">
        <v>23</v>
      </c>
    </row>
    <row r="2" spans="1:3" ht="16" thickBot="1" x14ac:dyDescent="0.4">
      <c r="A2" s="6" t="s">
        <v>18</v>
      </c>
      <c r="B2" s="8">
        <v>85</v>
      </c>
      <c r="C2" t="str">
        <f>IF(B2&gt;=90,"A",IF(B2&gt;=75,"B",IF(B2&gt;=50,"C","Fail")))</f>
        <v>B</v>
      </c>
    </row>
    <row r="3" spans="1:3" ht="16" thickBot="1" x14ac:dyDescent="0.4">
      <c r="A3" s="6" t="s">
        <v>19</v>
      </c>
      <c r="B3" s="8">
        <v>96</v>
      </c>
      <c r="C3" t="str">
        <f t="shared" ref="C3:C6" si="0">IF(B3&gt;=90,"A",IF(B3&gt;=75,"B",IF(B3&gt;=50,"C","Fail")))</f>
        <v>A</v>
      </c>
    </row>
    <row r="4" spans="1:3" ht="16" thickBot="1" x14ac:dyDescent="0.4">
      <c r="A4" s="6" t="s">
        <v>20</v>
      </c>
      <c r="B4" s="8">
        <v>57</v>
      </c>
      <c r="C4" t="str">
        <f t="shared" si="0"/>
        <v>C</v>
      </c>
    </row>
    <row r="5" spans="1:3" ht="16" thickBot="1" x14ac:dyDescent="0.4">
      <c r="A5" s="6" t="s">
        <v>21</v>
      </c>
      <c r="B5" s="8">
        <v>92</v>
      </c>
      <c r="C5" t="str">
        <f t="shared" si="0"/>
        <v>A</v>
      </c>
    </row>
    <row r="6" spans="1:3" ht="16" thickBot="1" x14ac:dyDescent="0.4">
      <c r="A6" s="6" t="s">
        <v>22</v>
      </c>
      <c r="B6" s="8">
        <v>75</v>
      </c>
      <c r="C6" t="str">
        <f t="shared" si="0"/>
        <v>B</v>
      </c>
    </row>
    <row r="8" spans="1:3" ht="15.5" x14ac:dyDescent="0.35">
      <c r="B8" s="11" t="s">
        <v>25</v>
      </c>
    </row>
    <row r="9" spans="1:3" x14ac:dyDescent="0.35">
      <c r="B9" s="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23" sqref="E23"/>
    </sheetView>
  </sheetViews>
  <sheetFormatPr defaultRowHeight="14.5" x14ac:dyDescent="0.35"/>
  <cols>
    <col min="3" max="3" width="11.6328125" customWidth="1"/>
  </cols>
  <sheetData>
    <row r="1" spans="1:4" ht="29.5" thickBot="1" x14ac:dyDescent="0.4">
      <c r="A1" s="1" t="s">
        <v>26</v>
      </c>
      <c r="B1" s="3" t="s">
        <v>27</v>
      </c>
      <c r="C1" s="3" t="s">
        <v>28</v>
      </c>
    </row>
    <row r="2" spans="1:4" ht="15" thickBot="1" x14ac:dyDescent="0.4">
      <c r="A2" s="5" t="s">
        <v>29</v>
      </c>
      <c r="B2" s="7" t="s">
        <v>4</v>
      </c>
      <c r="C2" s="7" t="s">
        <v>30</v>
      </c>
    </row>
    <row r="3" spans="1:4" ht="15" thickBot="1" x14ac:dyDescent="0.4">
      <c r="A3" s="5" t="s">
        <v>31</v>
      </c>
      <c r="B3" s="7" t="s">
        <v>2</v>
      </c>
      <c r="C3" s="7" t="s">
        <v>32</v>
      </c>
    </row>
    <row r="4" spans="1:4" ht="15" thickBot="1" x14ac:dyDescent="0.4">
      <c r="A4" s="5" t="s">
        <v>33</v>
      </c>
      <c r="B4" s="7" t="s">
        <v>34</v>
      </c>
      <c r="C4" s="7" t="s">
        <v>35</v>
      </c>
      <c r="D4" t="str">
        <f>VLOOKUP("E103", A2:C5, 3, FALSE)</f>
        <v>Finance</v>
      </c>
    </row>
    <row r="5" spans="1:4" ht="15" thickBot="1" x14ac:dyDescent="0.4">
      <c r="A5" s="5" t="s">
        <v>36</v>
      </c>
      <c r="B5" s="7" t="s">
        <v>37</v>
      </c>
      <c r="C5" s="7" t="s">
        <v>10</v>
      </c>
    </row>
    <row r="9" spans="1:4" x14ac:dyDescent="0.35">
      <c r="C9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F11" sqref="F11"/>
    </sheetView>
  </sheetViews>
  <sheetFormatPr defaultRowHeight="14.5" x14ac:dyDescent="0.35"/>
  <cols>
    <col min="1" max="1" width="9.90625" customWidth="1"/>
    <col min="2" max="2" width="13.6328125" customWidth="1"/>
    <col min="3" max="3" width="11.1796875" customWidth="1"/>
  </cols>
  <sheetData>
    <row r="1" spans="1:3" ht="56" thickBot="1" x14ac:dyDescent="0.4">
      <c r="A1" s="13" t="s">
        <v>39</v>
      </c>
      <c r="B1" s="14" t="s">
        <v>40</v>
      </c>
      <c r="C1" t="s">
        <v>43</v>
      </c>
    </row>
    <row r="2" spans="1:3" ht="19" thickBot="1" x14ac:dyDescent="0.4">
      <c r="A2" s="15">
        <v>0</v>
      </c>
      <c r="B2" s="16">
        <v>0.05</v>
      </c>
      <c r="C2">
        <f>VLOOKUP(45000, A2:B5, 2, TRUE)</f>
        <v>0.1</v>
      </c>
    </row>
    <row r="3" spans="1:3" ht="19" thickBot="1" x14ac:dyDescent="0.4">
      <c r="A3" s="15">
        <v>20000</v>
      </c>
      <c r="B3" s="16">
        <v>0.1</v>
      </c>
      <c r="C3">
        <f>VLOOKUP(45000, A2:B5, 2, TRUE)</f>
        <v>0.1</v>
      </c>
    </row>
    <row r="4" spans="1:3" ht="19" thickBot="1" x14ac:dyDescent="0.4">
      <c r="A4" s="15">
        <v>50000</v>
      </c>
      <c r="B4" s="16">
        <v>0.15</v>
      </c>
      <c r="C4">
        <f t="shared" ref="C4:C5" si="0">VLOOKUP(45000, A3:B6, 2, TRUE)</f>
        <v>0.1</v>
      </c>
    </row>
    <row r="5" spans="1:3" ht="19" thickBot="1" x14ac:dyDescent="0.4">
      <c r="A5" s="15">
        <v>80000</v>
      </c>
      <c r="B5" s="16">
        <v>0.2</v>
      </c>
      <c r="C5">
        <f>VLOOKUP(45000, A2:B5, 2, TRUE)</f>
        <v>0.1</v>
      </c>
    </row>
    <row r="8" spans="1:3" ht="18.5" x14ac:dyDescent="0.35">
      <c r="C8" s="17" t="s">
        <v>41</v>
      </c>
    </row>
    <row r="9" spans="1:3" ht="18.5" x14ac:dyDescent="0.35">
      <c r="C9" s="18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14" sqref="E14"/>
    </sheetView>
  </sheetViews>
  <sheetFormatPr defaultRowHeight="14.5" x14ac:dyDescent="0.35"/>
  <cols>
    <col min="1" max="1" width="11.36328125" customWidth="1"/>
    <col min="3" max="3" width="10.81640625" customWidth="1"/>
  </cols>
  <sheetData>
    <row r="1" spans="1:4" ht="37.5" thickBot="1" x14ac:dyDescent="0.4">
      <c r="A1" s="13" t="s">
        <v>44</v>
      </c>
      <c r="B1" s="14" t="s">
        <v>45</v>
      </c>
      <c r="C1" s="14" t="s">
        <v>46</v>
      </c>
      <c r="D1" s="20" t="s">
        <v>53</v>
      </c>
    </row>
    <row r="2" spans="1:4" ht="19" thickBot="1" x14ac:dyDescent="0.4">
      <c r="A2" s="15" t="s">
        <v>47</v>
      </c>
      <c r="B2" s="19">
        <v>10</v>
      </c>
      <c r="C2" s="19">
        <v>12</v>
      </c>
      <c r="D2" t="str">
        <f>IF(B2&gt;C2,"Exceeded","OK")</f>
        <v>OK</v>
      </c>
    </row>
    <row r="3" spans="1:4" ht="19" thickBot="1" x14ac:dyDescent="0.4">
      <c r="A3" s="15" t="s">
        <v>48</v>
      </c>
      <c r="B3" s="19">
        <v>10</v>
      </c>
      <c r="C3" s="19">
        <v>15</v>
      </c>
      <c r="D3" t="str">
        <f t="shared" ref="D3:D4" si="0">IF(B3&gt;C3,"Exceeded","OK")</f>
        <v>OK</v>
      </c>
    </row>
    <row r="4" spans="1:4" ht="19" thickBot="1" x14ac:dyDescent="0.4">
      <c r="A4" s="15" t="s">
        <v>49</v>
      </c>
      <c r="B4" s="19">
        <v>8</v>
      </c>
      <c r="C4" s="19">
        <v>12</v>
      </c>
      <c r="D4" t="str">
        <f t="shared" si="0"/>
        <v>OK</v>
      </c>
    </row>
    <row r="7" spans="1:4" ht="15.5" x14ac:dyDescent="0.35">
      <c r="C7" s="10" t="s">
        <v>54</v>
      </c>
    </row>
    <row r="8" spans="1:4" ht="15.5" x14ac:dyDescent="0.35">
      <c r="C8" s="11" t="s">
        <v>50</v>
      </c>
    </row>
    <row r="9" spans="1:4" ht="15.5" x14ac:dyDescent="0.35">
      <c r="C9" s="11" t="s">
        <v>51</v>
      </c>
    </row>
    <row r="10" spans="1:4" ht="15.5" x14ac:dyDescent="0.35">
      <c r="C10" s="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F15" sqref="F15"/>
    </sheetView>
  </sheetViews>
  <sheetFormatPr defaultRowHeight="14.5" x14ac:dyDescent="0.35"/>
  <sheetData>
    <row r="1" spans="1:3" ht="16" thickBot="1" x14ac:dyDescent="0.4">
      <c r="A1" s="21" t="s">
        <v>26</v>
      </c>
      <c r="B1" s="22" t="s">
        <v>55</v>
      </c>
      <c r="C1" t="s">
        <v>7</v>
      </c>
    </row>
    <row r="2" spans="1:3" ht="16" thickBot="1" x14ac:dyDescent="0.4">
      <c r="A2" s="23" t="s">
        <v>36</v>
      </c>
      <c r="B2" s="24">
        <v>55000</v>
      </c>
    </row>
    <row r="3" spans="1:3" ht="16" thickBot="1" x14ac:dyDescent="0.4">
      <c r="A3" s="23" t="s">
        <v>56</v>
      </c>
      <c r="B3" s="24">
        <v>72000</v>
      </c>
      <c r="C3">
        <f>INDEX(B2:B5, MATCH("E105", A2:A5, 0))</f>
        <v>72000</v>
      </c>
    </row>
    <row r="4" spans="1:3" ht="16" thickBot="1" x14ac:dyDescent="0.4">
      <c r="A4" s="23" t="s">
        <v>57</v>
      </c>
      <c r="B4" s="24">
        <v>62000</v>
      </c>
    </row>
    <row r="5" spans="1:3" ht="16" thickBot="1" x14ac:dyDescent="0.4">
      <c r="A5" s="23" t="s">
        <v>31</v>
      </c>
      <c r="B5" s="24">
        <v>41000</v>
      </c>
    </row>
    <row r="7" spans="1:3" ht="15.5" x14ac:dyDescent="0.35">
      <c r="C7" s="25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C4" sqref="C4"/>
    </sheetView>
  </sheetViews>
  <sheetFormatPr defaultRowHeight="14.5" x14ac:dyDescent="0.35"/>
  <cols>
    <col min="3" max="3" width="14.26953125" bestFit="1" customWidth="1"/>
  </cols>
  <sheetData>
    <row r="1" spans="1:4" ht="16" thickBot="1" x14ac:dyDescent="0.4">
      <c r="A1" s="2" t="s">
        <v>26</v>
      </c>
      <c r="B1" s="4" t="s">
        <v>55</v>
      </c>
      <c r="C1" t="s">
        <v>28</v>
      </c>
    </row>
    <row r="2" spans="1:4" ht="16" thickBot="1" x14ac:dyDescent="0.4">
      <c r="A2" s="6" t="s">
        <v>29</v>
      </c>
      <c r="B2" s="8" t="s">
        <v>32</v>
      </c>
    </row>
    <row r="3" spans="1:4" ht="16" thickBot="1" x14ac:dyDescent="0.4">
      <c r="A3" s="6" t="s">
        <v>59</v>
      </c>
      <c r="B3" s="8" t="s">
        <v>30</v>
      </c>
      <c r="C3" s="25" t="str">
        <f>VLOOKUP("E303", A2:B5, 2, FALSE)</f>
        <v>IT</v>
      </c>
    </row>
    <row r="4" spans="1:4" ht="16" thickBot="1" x14ac:dyDescent="0.4">
      <c r="A4" s="6" t="s">
        <v>57</v>
      </c>
      <c r="B4" s="8" t="s">
        <v>10</v>
      </c>
    </row>
    <row r="5" spans="1:4" ht="16" thickBot="1" x14ac:dyDescent="0.4">
      <c r="A5" s="6" t="s">
        <v>60</v>
      </c>
      <c r="B5" s="8" t="s">
        <v>35</v>
      </c>
    </row>
    <row r="8" spans="1:4" ht="15.5" x14ac:dyDescent="0.35">
      <c r="D8" s="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2025-12-13T15:41:53Z</dcterms:created>
  <dcterms:modified xsi:type="dcterms:W3CDTF">2025-12-13T17:10:02Z</dcterms:modified>
</cp:coreProperties>
</file>